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filterPrivacy="1" defaultThemeVersion="202300"/>
  <xr:revisionPtr revIDLastSave="0" documentId="8_{F338CD6A-7C0A-42D1-9943-0BBB867DCAE0}" xr6:coauthVersionLast="47" xr6:coauthVersionMax="47" xr10:uidLastSave="{00000000-0000-0000-0000-000000000000}"/>
  <bookViews>
    <workbookView xWindow="21480" yWindow="-120" windowWidth="20730" windowHeight="11160" xr2:uid="{DFFB3FD9-BC0C-4F82-BC99-D4743ACBF3D6}"/>
  </bookViews>
  <sheets>
    <sheet name="Aula 1 - Limpeza" sheetId="1" r:id="rId1"/>
    <sheet name="Aula 2 - Datas" sheetId="2" r:id="rId2"/>
    <sheet name="Aula 3 - Lógica (VT)" sheetId="3" r:id="rId3"/>
    <sheet name="Aula 4 - Busca" sheetId="4" r:id="rId4"/>
    <sheet name="Aula 5 - Cruzar listas" sheetId="5" r:id="rId5"/>
    <sheet name="Aula 6 - Contar e somar" sheetId="6" r:id="rId6"/>
    <sheet name="Aula 7 - Desconto" sheetId="7" r:id="rId7"/>
    <sheet name="Aula 8 - Máscara LGPD" sheetId="8" r:id="rId8"/>
  </sheets>
  <definedNames>
    <definedName name="ValorDia">'Aula 3 - Lógica (VT)'!$I$1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6" i="8" l="1"/>
  <c r="D5" i="8"/>
  <c r="B6" i="8"/>
  <c r="B5" i="8"/>
  <c r="D4" i="8"/>
  <c r="B4" i="8"/>
  <c r="F6" i="7"/>
  <c r="C6" i="7"/>
  <c r="E5" i="7"/>
  <c r="F5" i="7" s="1"/>
  <c r="F4" i="7"/>
  <c r="E4" i="7"/>
  <c r="G10" i="6"/>
  <c r="G9" i="6"/>
  <c r="G8" i="6"/>
  <c r="G7" i="6"/>
  <c r="G6" i="6"/>
  <c r="G5" i="6"/>
  <c r="G4" i="6"/>
  <c r="J6" i="5"/>
  <c r="J5" i="5"/>
  <c r="J4" i="5"/>
  <c r="G4" i="5" a="1"/>
  <c r="G4" i="5" s="1"/>
  <c r="F4" i="5" a="1"/>
  <c r="F4" i="5" s="1"/>
  <c r="D11" i="5"/>
  <c r="D10" i="5"/>
  <c r="D9" i="5"/>
  <c r="D8" i="5"/>
  <c r="D7" i="5"/>
  <c r="D6" i="5"/>
  <c r="D5" i="5"/>
  <c r="B11" i="5"/>
  <c r="B10" i="5"/>
  <c r="B9" i="5"/>
  <c r="B8" i="5"/>
  <c r="B7" i="5"/>
  <c r="B6" i="5"/>
  <c r="B5" i="5"/>
  <c r="D4" i="5"/>
  <c r="B4" i="5"/>
  <c r="B6" i="4"/>
  <c r="B5" i="4"/>
  <c r="B4" i="4"/>
  <c r="B3" i="4"/>
  <c r="B2" i="4"/>
  <c r="G8" i="3"/>
  <c r="E8" i="3"/>
  <c r="F8" i="3" s="1"/>
  <c r="G7" i="3"/>
  <c r="E7" i="3"/>
  <c r="F7" i="3" s="1"/>
  <c r="G6" i="3"/>
  <c r="E6" i="3"/>
  <c r="F6" i="3" s="1"/>
  <c r="G5" i="3"/>
  <c r="E5" i="3"/>
  <c r="F5" i="3" s="1"/>
  <c r="G4" i="3"/>
  <c r="F4" i="3"/>
  <c r="E4" i="3"/>
  <c r="G8" i="2"/>
  <c r="H8" i="2" s="1"/>
  <c r="I8" i="2" s="1"/>
  <c r="G7" i="2"/>
  <c r="H7" i="2" s="1"/>
  <c r="I7" i="2" s="1"/>
  <c r="H6" i="2"/>
  <c r="I6" i="2" s="1"/>
  <c r="G6" i="2"/>
  <c r="G5" i="2"/>
  <c r="H5" i="2" s="1"/>
  <c r="I5" i="2" s="1"/>
  <c r="E8" i="2"/>
  <c r="C8" i="2"/>
  <c r="D8" i="2" s="1"/>
  <c r="E7" i="2"/>
  <c r="C7" i="2"/>
  <c r="D7" i="2" s="1"/>
  <c r="E6" i="2"/>
  <c r="D6" i="2"/>
  <c r="C6" i="2"/>
  <c r="E5" i="2"/>
  <c r="C5" i="2"/>
  <c r="D5" i="2" s="1"/>
  <c r="I4" i="2"/>
  <c r="H4" i="2"/>
  <c r="G4" i="2"/>
  <c r="E4" i="2"/>
  <c r="D4" i="2"/>
  <c r="C4" i="2"/>
  <c r="K2" i="1"/>
  <c r="H4" i="1"/>
  <c r="G4" i="1"/>
  <c r="H3" i="1"/>
  <c r="G3" i="1"/>
  <c r="H2" i="1"/>
  <c r="G2" i="1"/>
  <c r="B5" i="1"/>
  <c r="C5" i="1" s="1"/>
  <c r="D5" i="1" s="1"/>
  <c r="B4" i="1"/>
  <c r="C4" i="1" s="1"/>
  <c r="D4" i="1" s="1"/>
  <c r="C3" i="1"/>
  <c r="D3" i="1" s="1"/>
  <c r="B3" i="1"/>
  <c r="D2" i="1"/>
  <c r="C2" i="1"/>
  <c r="B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<sst xmlns="http://schemas.openxmlformats.org/spreadsheetml/2006/main" count="211" uniqueCount="114">
  <si>
    <t>CPF como veio</t>
  </si>
  <si>
    <t>CPF só dígitos</t>
  </si>
  <si>
    <t>Tamanho</t>
  </si>
  <si>
    <t>Conferência</t>
  </si>
  <si>
    <t xml:space="preserve"> 000.000.001-00 </t>
  </si>
  <si>
    <t>000000002-00</t>
  </si>
  <si>
    <t>000.000.003-00</t>
  </si>
  <si>
    <t>000.000.04-00</t>
  </si>
  <si>
    <t>Nome como veio</t>
  </si>
  <si>
    <t>Padronizado</t>
  </si>
  <si>
    <t>Nome próprio</t>
  </si>
  <si>
    <t xml:space="preserve">  maria   exemplo </t>
  </si>
  <si>
    <t>JOÃO exemplo</t>
  </si>
  <si>
    <t>ana MODELO</t>
  </si>
  <si>
    <t>CPF sem zero</t>
  </si>
  <si>
    <t>Com zeros</t>
  </si>
  <si>
    <t>Data de referência</t>
  </si>
  <si>
    <t>Nome</t>
  </si>
  <si>
    <t>Início do curso</t>
  </si>
  <si>
    <t>Fim (5 dias úteis)</t>
  </si>
  <si>
    <t>Dias úteis</t>
  </si>
  <si>
    <t>Dia da semana</t>
  </si>
  <si>
    <t>Última reciclagem</t>
  </si>
  <si>
    <t>Vence em</t>
  </si>
  <si>
    <t>Dias até vencer</t>
  </si>
  <si>
    <t>Situação</t>
  </si>
  <si>
    <t>Fulano de Tal</t>
  </si>
  <si>
    <t>Beltrano da Silva</t>
  </si>
  <si>
    <t>Ciclano Souza</t>
  </si>
  <si>
    <t>Maria Exemplo</t>
  </si>
  <si>
    <t>João Exemplo</t>
  </si>
  <si>
    <t>Feriados</t>
  </si>
  <si>
    <t>Valor do dia</t>
  </si>
  <si>
    <t>Optante</t>
  </si>
  <si>
    <t>Escala</t>
  </si>
  <si>
    <t>Dias de folga</t>
  </si>
  <si>
    <t>Valor do VT</t>
  </si>
  <si>
    <t>Texto para lançar</t>
  </si>
  <si>
    <t>Versão com SES</t>
  </si>
  <si>
    <t>Não</t>
  </si>
  <si>
    <t>5x2</t>
  </si>
  <si>
    <t>Sim</t>
  </si>
  <si>
    <t>12x36</t>
  </si>
  <si>
    <t>RE digitado</t>
  </si>
  <si>
    <t>RE</t>
  </si>
  <si>
    <t>Área</t>
  </si>
  <si>
    <t>Filial</t>
  </si>
  <si>
    <t>OPERACIONAL</t>
  </si>
  <si>
    <t>SÃO PAULO</t>
  </si>
  <si>
    <t>ADMINISTRATIVO</t>
  </si>
  <si>
    <t>LOGÍSTICA</t>
  </si>
  <si>
    <t>Ana Modelo</t>
  </si>
  <si>
    <t>Carlos Modelo</t>
  </si>
  <si>
    <t>Paula Teste</t>
  </si>
  <si>
    <t>Pedro Teste</t>
  </si>
  <si>
    <t>Julia Demo</t>
  </si>
  <si>
    <t>Rafael Demo</t>
  </si>
  <si>
    <t>Camila Amostra</t>
  </si>
  <si>
    <t>Bruno Amostra</t>
  </si>
  <si>
    <t>Larissa Piloto</t>
  </si>
  <si>
    <t>PROCX</t>
  </si>
  <si>
    <t>PROCV</t>
  </si>
  <si>
    <t>ÍNDICE + CORRESP</t>
  </si>
  <si>
    <t>Se não achar</t>
  </si>
  <si>
    <t>Vários campos</t>
  </si>
  <si>
    <t>Semana passada</t>
  </si>
  <si>
    <t>Esta semana</t>
  </si>
  <si>
    <t>Novos (FILTRO)</t>
  </si>
  <si>
    <t>Saíram (FILTRO)</t>
  </si>
  <si>
    <t>Resumo</t>
  </si>
  <si>
    <t>Quantidade</t>
  </si>
  <si>
    <t>Novos</t>
  </si>
  <si>
    <t>Saíram</t>
  </si>
  <si>
    <t>Continuam</t>
  </si>
  <si>
    <t>Status</t>
  </si>
  <si>
    <t>Valor</t>
  </si>
  <si>
    <t>ADMITIDO</t>
  </si>
  <si>
    <t>DEMITIDO</t>
  </si>
  <si>
    <t>Pergunta</t>
  </si>
  <si>
    <t>Resposta</t>
  </si>
  <si>
    <t>Fórmula usada</t>
  </si>
  <si>
    <t>Quantos admitidos?</t>
  </si>
  <si>
    <t>Quantos demitidos?</t>
  </si>
  <si>
    <t>Admitidos na área OPERACIONAL?</t>
  </si>
  <si>
    <t>Soma dos valores dos demitidos</t>
  </si>
  <si>
    <t>Soma dos demitidos em LOGÍSTICA</t>
  </si>
  <si>
    <t>Valor médio dos admitidos</t>
  </si>
  <si>
    <t>Conferência: bate com o total?</t>
  </si>
  <si>
    <t>CONT.SE(tbMov[Status];"ADMITIDO")</t>
  </si>
  <si>
    <t>CONT.SE(tbMov[Status];"DEMITIDO")</t>
  </si>
  <si>
    <t>CONT.SES(...)</t>
  </si>
  <si>
    <t>SOMASE(...)</t>
  </si>
  <si>
    <t>SOMASES(...)</t>
  </si>
  <si>
    <t>MÉDIASE(...)</t>
  </si>
  <si>
    <t>SE(...)</t>
  </si>
  <si>
    <t>Parcela</t>
  </si>
  <si>
    <t>Data do ocorrido</t>
  </si>
  <si>
    <t>Motivo</t>
  </si>
  <si>
    <t>Competência</t>
  </si>
  <si>
    <t>Texto da linha</t>
  </si>
  <si>
    <t>1ª</t>
  </si>
  <si>
    <t>2ª</t>
  </si>
  <si>
    <t>material de exemplo</t>
  </si>
  <si>
    <t>outro item de exemplo</t>
  </si>
  <si>
    <t>Total</t>
  </si>
  <si>
    <t>CPF</t>
  </si>
  <si>
    <t>CPF mascarado</t>
  </si>
  <si>
    <t>E-mail</t>
  </si>
  <si>
    <t>E-mail mascarado</t>
  </si>
  <si>
    <t>000.000.001-00</t>
  </si>
  <si>
    <t>000.000.002-00</t>
  </si>
  <si>
    <t>maria.exemplo@exemplo.com</t>
  </si>
  <si>
    <t>joao.exemplo@exemplo.com</t>
  </si>
  <si>
    <t>ana.modelo@exemplo.com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</si>
</sst>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 &quot;#,##0.00"/>
  </numFmts>
  <fonts count="4" x14ac:knownFonts="1">
    <font>
      <sz val="11"/>
      <color theme="1"/>
      <name val="Aptos Narrow"/>
      <family val="2"/>
      <scheme val="minor"/>
    </font>
    <font>
      <sz val="14"/>
      <color theme="1"/>
      <name val="Calibri"/>
      <family val="2"/>
    </font>
    <font>
      <b/>
      <sz val="14"/>
      <color theme="1"/>
      <name val="Calibri"/>
      <family val="2"/>
    </font>
    <font>
      <b/>
      <sz val="14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17346"/>
        <bgColor indexed="64"/>
      </patternFill>
    </fill>
    <fill>
      <patternFill patternType="solid">
        <fgColor rgb="FFE8F3E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49" fontId="1" fillId="0" borderId="0" xfId="0" applyNumberFormat="1" applyFont="1"/>
    <xf numFmtId="14" fontId="1" fillId="0" borderId="0" xfId="0" applyNumberFormat="1" applyFont="1"/>
    <xf numFmtId="14" fontId="2" fillId="0" borderId="0" xfId="0" applyNumberFormat="1" applyFont="1"/>
    <xf numFmtId="1" fontId="1" fillId="0" borderId="0" xfId="0" applyNumberFormat="1" applyFont="1"/>
    <xf numFmtId="164" fontId="1" fillId="0" borderId="0" xfId="0" applyNumberFormat="1" applyFont="1"/>
    <xf numFmtId="164" fontId="2" fillId="0" borderId="0" xfId="0" applyNumberFormat="1" applyFont="1"/>
    <xf numFmtId="164" fontId="2" fillId="3" borderId="0" xfId="0" applyNumberFormat="1" applyFont="1" applyFill="1"/>
    <xf numFmtId="0" fontId="2" fillId="3" borderId="0" xfId="0" applyFont="1" applyFill="1"/>
    <xf numFmtId="49" fontId="1" fillId="0" borderId="0" xfId="0" quotePrefix="1" applyNumberFormat="1" applyFont="1"/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FFFFFF"/>
        <name val="Calibri"/>
        <family val="2"/>
        <scheme val="none"/>
      </font>
      <fill>
        <patternFill patternType="solid">
          <fgColor indexed="64"/>
          <bgColor rgb="FF217346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  <numFmt numFmtId="164" formatCode="&quot;R$ &quot;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06009C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none"/>
      </font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6009C"/>
      </font>
      <fill>
        <patternFill>
          <bgColor rgb="FFFFC7CE"/>
        </patternFill>
      </fill>
    </dxf>
    <dxf>
      <font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B01BCF-6079-4CC0-96AC-D3235421F89F}" name="tbBase" displayName="tbBase" ref="A8:E22" totalsRowShown="0" headerRowDxfId="8" dataDxfId="9">
  <autoFilter ref="A8:E22" xr:uid="{FAB01BCF-6079-4CC0-96AC-D3235421F89F}"/>
  <tableColumns count="5">
    <tableColumn id="1" xr3:uid="{A71C8819-44EB-491E-BB74-14C9676F95B2}" name="RE" dataDxfId="14"/>
    <tableColumn id="2" xr3:uid="{03B3233A-D753-4459-B51D-0435436CEDF5}" name="Nome" dataDxfId="13"/>
    <tableColumn id="3" xr3:uid="{62CA62CE-02B5-444E-ACF3-A2EC93142F4C}" name="Área" dataDxfId="12"/>
    <tableColumn id="4" xr3:uid="{01E9F888-BAAA-44D2-AF09-EA075360202A}" name="Escala" dataDxfId="11"/>
    <tableColumn id="5" xr3:uid="{7DCBE181-D13B-436A-B933-38CA5F184AD8}" name="Filial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0A1B53-8F48-42B1-9746-F163EB8213F3}" name="tbMov" displayName="tbMov" ref="A3:D15" totalsRowShown="0" headerRowDxfId="0" dataDxfId="1">
  <autoFilter ref="A3:D15" xr:uid="{CC0A1B53-8F48-42B1-9746-F163EB8213F3}"/>
  <tableColumns count="4">
    <tableColumn id="1" xr3:uid="{93B3D52E-EEDE-4D67-A277-A23755C72045}" name="Nome" dataDxfId="5"/>
    <tableColumn id="2" xr3:uid="{232EDDC2-8395-4D79-80D7-0C8F7594465F}" name="Área" dataDxfId="4"/>
    <tableColumn id="3" xr3:uid="{8BE8132C-8826-4C2F-BCBA-989B5AFC572B}" name="Status" dataDxfId="3"/>
    <tableColumn id="4" xr3:uid="{6FF3B7EB-C07B-4A92-85A2-3B288C150D07}" name="Valor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F165E-D8B0-415E-8AC7-5D167F6BCD44}">
  <dimension ref="A1:K5"/>
  <sheetViews>
    <sheetView tabSelected="1" zoomScaleNormal="100" workbookViewId="0"/>
  </sheetViews>
  <sheetFormatPr defaultRowHeight="24" customHeight="1" x14ac:dyDescent="0.3"/>
  <cols>
    <col min="1" max="1" width="20.7109375" style="1" customWidth="1"/>
    <col min="2" max="2" width="17.140625" style="1" bestFit="1" customWidth="1"/>
    <col min="3" max="3" width="11.5703125" style="1" bestFit="1" customWidth="1"/>
    <col min="4" max="4" width="15" style="1" bestFit="1" customWidth="1"/>
    <col min="5" max="5" width="9.140625" style="1"/>
    <col min="6" max="7" width="20.5703125" style="1" bestFit="1" customWidth="1"/>
    <col min="8" max="8" width="17.85546875" style="1" bestFit="1" customWidth="1"/>
    <col min="9" max="9" width="9.140625" style="1"/>
    <col min="10" max="10" width="16.42578125" style="1" bestFit="1" customWidth="1"/>
    <col min="11" max="11" width="17.140625" style="1" bestFit="1" customWidth="1"/>
    <col min="12" max="16384" width="9.140625" style="1"/>
  </cols>
  <sheetData>
    <row r="1" spans="1:11" ht="24" customHeight="1" x14ac:dyDescent="0.3">
      <c r="A1" s="3" t="s">
        <v>0</v>
      </c>
      <c r="B1" s="3" t="s">
        <v>1</v>
      </c>
      <c r="C1" s="3" t="s">
        <v>2</v>
      </c>
      <c r="D1" s="3" t="s">
        <v>3</v>
      </c>
      <c r="F1" s="3" t="s">
        <v>8</v>
      </c>
      <c r="G1" s="3" t="s">
        <v>9</v>
      </c>
      <c r="H1" s="3" t="s">
        <v>10</v>
      </c>
      <c r="J1" s="3" t="s">
        <v>14</v>
      </c>
      <c r="K1" s="3" t="s">
        <v>15</v>
      </c>
    </row>
    <row r="2" spans="1:11" ht="24" customHeight="1" x14ac:dyDescent="0.3">
      <c r="A2" s="4" t="s">
        <v>4</v>
      </c>
      <c r="B2" s="4" t="str">
        <f>SUBSTITUTE(SUBSTITUTE(SUBSTITUTE(TRIM(A2),".",""),"-","")," ","")</f>
        <v>00000000100</v>
      </c>
      <c r="C2" s="1">
        <f>LEN(B2)</f>
        <v>11</v>
      </c>
      <c r="D2" s="1" t="str">
        <f>IF(C2=11,"OK","Conferir")</f>
        <v>OK</v>
      </c>
      <c r="F2" s="1" t="s">
        <v>11</v>
      </c>
      <c r="G2" s="1" t="str">
        <f>UPPER(TRIM(F2))</f>
        <v>MARIA EXEMPLO</v>
      </c>
      <c r="H2" s="1" t="str">
        <f>PROPER(TRIM(F2))</f>
        <v>Maria Exemplo</v>
      </c>
      <c r="J2" s="1">
        <v>123456789</v>
      </c>
      <c r="K2" s="1" t="str">
        <f>TEXT(J2,"00000000000")</f>
        <v>00123456789</v>
      </c>
    </row>
    <row r="3" spans="1:11" ht="24" customHeight="1" x14ac:dyDescent="0.3">
      <c r="A3" s="4" t="s">
        <v>5</v>
      </c>
      <c r="B3" s="4" t="str">
        <f t="shared" ref="B3:B5" si="0">SUBSTITUTE(SUBSTITUTE(SUBSTITUTE(TRIM(A3),".",""),"-","")," ","")</f>
        <v>00000000200</v>
      </c>
      <c r="C3" s="1">
        <f t="shared" ref="C3:C5" si="1">LEN(B3)</f>
        <v>11</v>
      </c>
      <c r="D3" s="1" t="str">
        <f t="shared" ref="D3:D5" si="2">IF(C3=11,"OK","Conferir")</f>
        <v>OK</v>
      </c>
      <c r="F3" s="1" t="s">
        <v>12</v>
      </c>
      <c r="G3" s="1" t="str">
        <f t="shared" ref="G3:G4" si="3">UPPER(TRIM(F3))</f>
        <v>JOÃO EXEMPLO</v>
      </c>
      <c r="H3" s="1" t="str">
        <f t="shared" ref="H3:H4" si="4">PROPER(TRIM(F3))</f>
        <v>João Exemplo</v>
      </c>
    </row>
    <row r="4" spans="1:11" ht="24" customHeight="1" x14ac:dyDescent="0.3">
      <c r="A4" s="4" t="s">
        <v>6</v>
      </c>
      <c r="B4" s="4" t="str">
        <f t="shared" si="0"/>
        <v>00000000300</v>
      </c>
      <c r="C4" s="1">
        <f t="shared" si="1"/>
        <v>11</v>
      </c>
      <c r="D4" s="1" t="str">
        <f t="shared" si="2"/>
        <v>OK</v>
      </c>
      <c r="F4" s="1" t="s">
        <v>13</v>
      </c>
      <c r="G4" s="1" t="str">
        <f t="shared" si="3"/>
        <v>ANA MODELO</v>
      </c>
      <c r="H4" s="1" t="str">
        <f t="shared" si="4"/>
        <v>Ana Modelo</v>
      </c>
    </row>
    <row r="5" spans="1:11" ht="24" customHeight="1" x14ac:dyDescent="0.3">
      <c r="A5" s="4" t="s">
        <v>7</v>
      </c>
      <c r="B5" s="4" t="str">
        <f t="shared" si="0"/>
        <v>0000000400</v>
      </c>
      <c r="C5" s="1">
        <f t="shared" si="1"/>
        <v>10</v>
      </c>
      <c r="D5" s="1" t="str">
        <f t="shared" si="2"/>
        <v>Conferir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ED661-6492-408D-A671-7A5E43505E2E}">
  <dimension ref="A1:K8"/>
  <sheetViews>
    <sheetView zoomScaleNormal="100" workbookViewId="0"/>
  </sheetViews>
  <sheetFormatPr defaultRowHeight="24" customHeight="1" x14ac:dyDescent="0.3"/>
  <cols>
    <col min="1" max="1" width="22.7109375" style="1" bestFit="1" customWidth="1"/>
    <col min="2" max="2" width="17.85546875" style="1" bestFit="1" customWidth="1"/>
    <col min="3" max="3" width="20.85546875" style="1" bestFit="1" customWidth="1"/>
    <col min="4" max="4" width="12.42578125" style="1" bestFit="1" customWidth="1"/>
    <col min="5" max="5" width="16.7109375" style="1" customWidth="1"/>
    <col min="6" max="6" width="22.140625" style="1" bestFit="1" customWidth="1"/>
    <col min="7" max="7" width="14.85546875" style="1" bestFit="1" customWidth="1"/>
    <col min="8" max="8" width="19" style="1" bestFit="1" customWidth="1"/>
    <col min="9" max="9" width="12" style="1" bestFit="1" customWidth="1"/>
    <col min="10" max="10" width="9.140625" style="1"/>
    <col min="11" max="11" width="14.85546875" style="1" bestFit="1" customWidth="1"/>
    <col min="12" max="16384" width="9.140625" style="1"/>
  </cols>
  <sheetData>
    <row r="1" spans="1:11" ht="24" customHeight="1" x14ac:dyDescent="0.3">
      <c r="A1" s="2" t="s">
        <v>16</v>
      </c>
      <c r="B1" s="6">
        <v>46311</v>
      </c>
    </row>
    <row r="3" spans="1:11" ht="24" customHeight="1" x14ac:dyDescent="0.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K3" s="3" t="s">
        <v>31</v>
      </c>
    </row>
    <row r="4" spans="1:11" ht="24" customHeight="1" x14ac:dyDescent="0.3">
      <c r="A4" s="1" t="s">
        <v>26</v>
      </c>
      <c r="B4" s="5">
        <v>46314</v>
      </c>
      <c r="C4" s="5">
        <f>WORKDAY(B4,4,$K$4:$K$5)</f>
        <v>46318</v>
      </c>
      <c r="D4" s="1">
        <f>NETWORKDAYS(B4,C4,$K$4:$K$5)</f>
        <v>5</v>
      </c>
      <c r="E4" s="1" t="str">
        <f>TEXT(B4,"dddd")</f>
        <v>segunda-feira</v>
      </c>
      <c r="F4" s="5">
        <v>45541</v>
      </c>
      <c r="G4" s="5">
        <f>EDATE(F4,24)</f>
        <v>46271</v>
      </c>
      <c r="H4" s="7">
        <f>G4-$B$1</f>
        <v>-40</v>
      </c>
      <c r="I4" s="1" t="str">
        <f>IF(H4&lt;0,"Vencido",IF(H4&lt;=60,"Vermelho",IF(H4&lt;=120,"Amarelo","Verde")))</f>
        <v>Vencido</v>
      </c>
      <c r="K4" s="5">
        <v>46328</v>
      </c>
    </row>
    <row r="5" spans="1:11" ht="24" customHeight="1" x14ac:dyDescent="0.3">
      <c r="A5" s="1" t="s">
        <v>27</v>
      </c>
      <c r="B5" s="5">
        <v>46317</v>
      </c>
      <c r="C5" s="5">
        <f t="shared" ref="C5:C8" si="0">WORKDAY(B5,4,$K$4:$K$5)</f>
        <v>46323</v>
      </c>
      <c r="D5" s="1">
        <f t="shared" ref="D5:D8" si="1">NETWORKDAYS(B5,C5,$K$4:$K$5)</f>
        <v>5</v>
      </c>
      <c r="E5" s="1" t="str">
        <f t="shared" ref="E5:E8" si="2">TEXT(B5,"dddd")</f>
        <v>quinta-feira</v>
      </c>
      <c r="F5" s="5">
        <v>45569</v>
      </c>
      <c r="G5" s="5">
        <f t="shared" ref="G5:G8" si="3">EDATE(F5,24)</f>
        <v>46299</v>
      </c>
      <c r="H5" s="7">
        <f t="shared" ref="H5:H8" si="4">G5-$B$1</f>
        <v>-12</v>
      </c>
      <c r="I5" s="1" t="str">
        <f t="shared" ref="I5:I8" si="5">IF(H5&lt;0,"Vencido",IF(H5&lt;=60,"Vermelho",IF(H5&lt;=120,"Amarelo","Verde")))</f>
        <v>Vencido</v>
      </c>
      <c r="K5" s="5">
        <v>46346</v>
      </c>
    </row>
    <row r="6" spans="1:11" ht="24" customHeight="1" x14ac:dyDescent="0.3">
      <c r="A6" s="1" t="s">
        <v>28</v>
      </c>
      <c r="B6" s="5">
        <v>46324</v>
      </c>
      <c r="C6" s="5">
        <f t="shared" si="0"/>
        <v>46331</v>
      </c>
      <c r="D6" s="1">
        <f t="shared" si="1"/>
        <v>5</v>
      </c>
      <c r="E6" s="1" t="str">
        <f t="shared" si="2"/>
        <v>quinta-feira</v>
      </c>
      <c r="F6" s="5">
        <v>45616</v>
      </c>
      <c r="G6" s="5">
        <f t="shared" si="3"/>
        <v>46346</v>
      </c>
      <c r="H6" s="7">
        <f t="shared" si="4"/>
        <v>35</v>
      </c>
      <c r="I6" s="1" t="str">
        <f t="shared" si="5"/>
        <v>Vermelho</v>
      </c>
    </row>
    <row r="7" spans="1:11" ht="24" customHeight="1" x14ac:dyDescent="0.3">
      <c r="A7" s="1" t="s">
        <v>29</v>
      </c>
      <c r="B7" s="5">
        <v>46342</v>
      </c>
      <c r="C7" s="5">
        <f t="shared" si="0"/>
        <v>46349</v>
      </c>
      <c r="D7" s="1">
        <f t="shared" si="1"/>
        <v>5</v>
      </c>
      <c r="E7" s="1" t="str">
        <f t="shared" si="2"/>
        <v>segunda-feira</v>
      </c>
      <c r="F7" s="5">
        <v>45691</v>
      </c>
      <c r="G7" s="5">
        <f t="shared" si="3"/>
        <v>46421</v>
      </c>
      <c r="H7" s="7">
        <f t="shared" si="4"/>
        <v>110</v>
      </c>
      <c r="I7" s="1" t="str">
        <f t="shared" si="5"/>
        <v>Amarelo</v>
      </c>
    </row>
    <row r="8" spans="1:11" ht="24" customHeight="1" x14ac:dyDescent="0.3">
      <c r="A8" s="1" t="s">
        <v>30</v>
      </c>
      <c r="B8" s="5">
        <v>46357</v>
      </c>
      <c r="C8" s="5">
        <f t="shared" si="0"/>
        <v>46363</v>
      </c>
      <c r="D8" s="1">
        <f t="shared" si="1"/>
        <v>5</v>
      </c>
      <c r="E8" s="1" t="str">
        <f t="shared" si="2"/>
        <v>terça-feira</v>
      </c>
      <c r="F8" s="5">
        <v>46091</v>
      </c>
      <c r="G8" s="5">
        <f t="shared" si="3"/>
        <v>46822</v>
      </c>
      <c r="H8" s="7">
        <f t="shared" si="4"/>
        <v>511</v>
      </c>
      <c r="I8" s="1" t="str">
        <f t="shared" si="5"/>
        <v>Verde</v>
      </c>
    </row>
  </sheetData>
  <conditionalFormatting sqref="I4:I8">
    <cfRule type="cellIs" dxfId="18" priority="1" stopIfTrue="1" operator="equal">
      <formula>"Vencido"</formula>
    </cfRule>
    <cfRule type="cellIs" dxfId="17" priority="2" stopIfTrue="1" operator="equal">
      <formula>"Vermelho"</formula>
    </cfRule>
    <cfRule type="cellIs" dxfId="16" priority="3" stopIfTrue="1" operator="equal">
      <formula>"Amarelo"</formula>
    </cfRule>
    <cfRule type="cellIs" dxfId="15" priority="4" stopIfTrue="1" operator="equal">
      <formula>"Verde"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8EC2E2-AA35-4530-B5FC-322F1E6D6BBE}">
  <dimension ref="A1:I8"/>
  <sheetViews>
    <sheetView zoomScaleNormal="100" workbookViewId="0"/>
  </sheetViews>
  <sheetFormatPr defaultRowHeight="24" customHeight="1" x14ac:dyDescent="0.3"/>
  <cols>
    <col min="1" max="1" width="19.7109375" style="1" bestFit="1" customWidth="1"/>
    <col min="2" max="2" width="10.7109375" style="1" bestFit="1" customWidth="1"/>
    <col min="3" max="3" width="8.140625" style="1" bestFit="1" customWidth="1"/>
    <col min="4" max="4" width="15.85546875" style="1" bestFit="1" customWidth="1"/>
    <col min="5" max="5" width="14.28515625" style="1" bestFit="1" customWidth="1"/>
    <col min="6" max="6" width="38.5703125" style="1" bestFit="1" customWidth="1"/>
    <col min="7" max="7" width="19.140625" style="1" bestFit="1" customWidth="1"/>
    <col min="8" max="8" width="14.85546875" style="1" bestFit="1" customWidth="1"/>
    <col min="9" max="9" width="14.7109375" style="1" customWidth="1"/>
    <col min="10" max="16384" width="9.140625" style="1"/>
  </cols>
  <sheetData>
    <row r="1" spans="1:9" ht="24" customHeight="1" x14ac:dyDescent="0.3">
      <c r="H1" s="2" t="s">
        <v>32</v>
      </c>
      <c r="I1" s="10">
        <v>20</v>
      </c>
    </row>
    <row r="3" spans="1:9" ht="24" customHeight="1" x14ac:dyDescent="0.3">
      <c r="A3" s="3" t="s">
        <v>17</v>
      </c>
      <c r="B3" s="3" t="s">
        <v>33</v>
      </c>
      <c r="C3" s="3" t="s">
        <v>34</v>
      </c>
      <c r="D3" s="3" t="s">
        <v>35</v>
      </c>
      <c r="E3" s="3" t="s">
        <v>36</v>
      </c>
      <c r="F3" s="3" t="s">
        <v>37</v>
      </c>
      <c r="G3" s="3" t="s">
        <v>38</v>
      </c>
    </row>
    <row r="4" spans="1:9" ht="24" customHeight="1" x14ac:dyDescent="0.3">
      <c r="A4" s="1" t="s">
        <v>26</v>
      </c>
      <c r="B4" s="1" t="s">
        <v>39</v>
      </c>
      <c r="C4" s="1" t="s">
        <v>40</v>
      </c>
      <c r="D4" s="1">
        <v>0</v>
      </c>
      <c r="E4" s="8">
        <f>IF(B4="Não",5*ValorDia,IF(C4="5x2",0,D4*ValorDia))</f>
        <v>100</v>
      </c>
      <c r="F4" s="1" t="str">
        <f>"VT "&amp;UPPER(A4)&amp;" · "&amp;TEXT(E4,"R$ #.##0,00")</f>
        <v>VT FULANO DE TAL · R$ 100,00</v>
      </c>
      <c r="G4" s="8">
        <f>_xlfn.IFS(B4="Não",5*ValorDia,C4="5x2",0,TRUE,D4*ValorDia)</f>
        <v>100</v>
      </c>
    </row>
    <row r="5" spans="1:9" ht="24" customHeight="1" x14ac:dyDescent="0.3">
      <c r="A5" s="1" t="s">
        <v>27</v>
      </c>
      <c r="B5" s="1" t="s">
        <v>41</v>
      </c>
      <c r="C5" s="1" t="s">
        <v>40</v>
      </c>
      <c r="D5" s="1">
        <v>0</v>
      </c>
      <c r="E5" s="8">
        <f>IF(B5="Não",5*ValorDia,IF(C5="5x2",0,D5*ValorDia))</f>
        <v>0</v>
      </c>
      <c r="F5" s="1" t="str">
        <f t="shared" ref="F5:F8" si="0">"VT "&amp;UPPER(A5)&amp;" · "&amp;TEXT(E5,"R$ #.##0,00")</f>
        <v>VT BELTRANO DA SILVA · R$ 0,00</v>
      </c>
      <c r="G5" s="8">
        <f>_xlfn.IFS(B5="Não",5*ValorDia,C5="5x2",0,TRUE,D5*ValorDia)</f>
        <v>0</v>
      </c>
    </row>
    <row r="6" spans="1:9" ht="24" customHeight="1" x14ac:dyDescent="0.3">
      <c r="A6" s="1" t="s">
        <v>28</v>
      </c>
      <c r="B6" s="1" t="s">
        <v>41</v>
      </c>
      <c r="C6" s="1" t="s">
        <v>42</v>
      </c>
      <c r="D6" s="1">
        <v>3</v>
      </c>
      <c r="E6" s="8">
        <f>IF(B6="Não",5*ValorDia,IF(C6="5x2",0,D6*ValorDia))</f>
        <v>60</v>
      </c>
      <c r="F6" s="1" t="str">
        <f t="shared" si="0"/>
        <v>VT CICLANO SOUZA · R$ 60,00</v>
      </c>
      <c r="G6" s="8">
        <f>_xlfn.IFS(B6="Não",5*ValorDia,C6="5x2",0,TRUE,D6*ValorDia)</f>
        <v>60</v>
      </c>
    </row>
    <row r="7" spans="1:9" ht="24" customHeight="1" x14ac:dyDescent="0.3">
      <c r="A7" s="1" t="s">
        <v>29</v>
      </c>
      <c r="B7" s="1" t="s">
        <v>39</v>
      </c>
      <c r="C7" s="1" t="s">
        <v>42</v>
      </c>
      <c r="D7" s="1">
        <v>0</v>
      </c>
      <c r="E7" s="8">
        <f>IF(B7="Não",5*ValorDia,IF(C7="5x2",0,D7*ValorDia))</f>
        <v>100</v>
      </c>
      <c r="F7" s="1" t="str">
        <f t="shared" si="0"/>
        <v>VT MARIA EXEMPLO · R$ 100,00</v>
      </c>
      <c r="G7" s="8">
        <f>_xlfn.IFS(B7="Não",5*ValorDia,C7="5x2",0,TRUE,D7*ValorDia)</f>
        <v>100</v>
      </c>
    </row>
    <row r="8" spans="1:9" ht="24" customHeight="1" x14ac:dyDescent="0.3">
      <c r="A8" s="1" t="s">
        <v>30</v>
      </c>
      <c r="B8" s="1" t="s">
        <v>41</v>
      </c>
      <c r="C8" s="1" t="s">
        <v>42</v>
      </c>
      <c r="D8" s="1">
        <v>2</v>
      </c>
      <c r="E8" s="8">
        <f>IF(B8="Não",5*ValorDia,IF(C8="5x2",0,D8*ValorDia))</f>
        <v>40</v>
      </c>
      <c r="F8" s="1" t="str">
        <f t="shared" si="0"/>
        <v>VT JOÃO EXEMPLO · R$ 40,00</v>
      </c>
      <c r="G8" s="8">
        <f>_xlfn.IFS(B8="Não",5*ValorDia,C8="5x2",0,TRUE,D8*ValorDia)</f>
        <v>40</v>
      </c>
    </row>
  </sheetData>
  <dataValidations count="2">
    <dataValidation type="list" allowBlank="1" showInputMessage="1" showErrorMessage="1" sqref="B4:B8" xr:uid="{B2EBF1CB-11F9-452A-8ACF-6EB2659106F3}">
      <formula1>"Sim,Não"</formula1>
    </dataValidation>
    <dataValidation type="list" allowBlank="1" showInputMessage="1" showErrorMessage="1" sqref="C4:C8" xr:uid="{1309F0AA-E143-4F3D-B1E6-3BCC2B52B8F3}">
      <formula1>"5x2,12x36"</formula1>
    </dataValidation>
  </dataValidation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6079A-421A-4E29-863E-4797D09C0F17}">
  <dimension ref="A1:E22"/>
  <sheetViews>
    <sheetView zoomScaleNormal="100" workbookViewId="0"/>
  </sheetViews>
  <sheetFormatPr defaultRowHeight="24" customHeight="1" x14ac:dyDescent="0.3"/>
  <cols>
    <col min="1" max="1" width="22.28515625" style="1" bestFit="1" customWidth="1"/>
    <col min="2" max="2" width="40.7109375" style="1" customWidth="1"/>
    <col min="3" max="3" width="21.85546875" style="1" bestFit="1" customWidth="1"/>
    <col min="4" max="4" width="10.42578125" style="1" bestFit="1" customWidth="1"/>
    <col min="5" max="5" width="16.7109375" style="1" customWidth="1"/>
    <col min="6" max="16384" width="9.140625" style="1"/>
  </cols>
  <sheetData>
    <row r="1" spans="1:5" ht="24" customHeight="1" x14ac:dyDescent="0.3">
      <c r="A1" s="2" t="s">
        <v>43</v>
      </c>
      <c r="B1" s="11">
        <v>1003</v>
      </c>
    </row>
    <row r="2" spans="1:5" ht="24" customHeight="1" x14ac:dyDescent="0.3">
      <c r="A2" s="2" t="s">
        <v>60</v>
      </c>
      <c r="B2" s="1" t="str">
        <f>_xlfn.XLOOKUP(B1,tbBase[RE],tbBase[Nome],"Não encontrado")</f>
        <v>Ciclano Souza</v>
      </c>
    </row>
    <row r="3" spans="1:5" ht="24" customHeight="1" x14ac:dyDescent="0.3">
      <c r="A3" s="2" t="s">
        <v>61</v>
      </c>
      <c r="B3" s="1" t="str">
        <f>VLOOKUP(B1,tbBase[],2,FALSE)</f>
        <v>Ciclano Souza</v>
      </c>
    </row>
    <row r="4" spans="1:5" ht="24" customHeight="1" x14ac:dyDescent="0.3">
      <c r="A4" s="2" t="s">
        <v>62</v>
      </c>
      <c r="B4" s="1" t="str">
        <f>INDEX(tbBase[Nome],MATCH(B1,tbBase[RE],0))</f>
        <v>Ciclano Souza</v>
      </c>
    </row>
    <row r="5" spans="1:5" ht="24" customHeight="1" x14ac:dyDescent="0.3">
      <c r="A5" s="2" t="s">
        <v>63</v>
      </c>
      <c r="B5" s="1" t="str">
        <f>IFERROR(VLOOKUP(9999,tbBase[],2,FALSE),"RE não encontrado")</f>
        <v>RE não encontrado</v>
      </c>
    </row>
    <row r="6" spans="1:5" ht="24" customHeight="1" x14ac:dyDescent="0.3">
      <c r="A6" s="2" t="s">
        <v>64</v>
      </c>
      <c r="B6" s="1" t="str">
        <f>_xlfn.XLOOKUP(B1,tbBase[RE],tbBase[Área])&amp;" · "&amp;_xlfn.XLOOKUP(B1,tbBase[RE],tbBase[Escala])</f>
        <v>ADMINISTRATIVO · 5x2</v>
      </c>
    </row>
    <row r="8" spans="1:5" ht="24" customHeight="1" x14ac:dyDescent="0.3">
      <c r="A8" s="1" t="s">
        <v>44</v>
      </c>
      <c r="B8" s="1" t="s">
        <v>17</v>
      </c>
      <c r="C8" s="1" t="s">
        <v>45</v>
      </c>
      <c r="D8" s="1" t="s">
        <v>34</v>
      </c>
      <c r="E8" s="1" t="s">
        <v>46</v>
      </c>
    </row>
    <row r="9" spans="1:5" ht="24" customHeight="1" x14ac:dyDescent="0.3">
      <c r="A9" s="1">
        <v>1001</v>
      </c>
      <c r="B9" s="1" t="s">
        <v>26</v>
      </c>
      <c r="C9" s="1" t="s">
        <v>47</v>
      </c>
      <c r="D9" s="1" t="s">
        <v>42</v>
      </c>
      <c r="E9" s="1" t="s">
        <v>48</v>
      </c>
    </row>
    <row r="10" spans="1:5" ht="24" customHeight="1" x14ac:dyDescent="0.3">
      <c r="A10" s="1">
        <v>1002</v>
      </c>
      <c r="B10" s="1" t="s">
        <v>27</v>
      </c>
      <c r="C10" s="1" t="s">
        <v>47</v>
      </c>
      <c r="D10" s="1" t="s">
        <v>40</v>
      </c>
      <c r="E10" s="1" t="s">
        <v>48</v>
      </c>
    </row>
    <row r="11" spans="1:5" ht="24" customHeight="1" x14ac:dyDescent="0.3">
      <c r="A11" s="1">
        <v>1003</v>
      </c>
      <c r="B11" s="1" t="s">
        <v>28</v>
      </c>
      <c r="C11" s="1" t="s">
        <v>49</v>
      </c>
      <c r="D11" s="1" t="s">
        <v>40</v>
      </c>
      <c r="E11" s="1" t="s">
        <v>48</v>
      </c>
    </row>
    <row r="12" spans="1:5" ht="24" customHeight="1" x14ac:dyDescent="0.3">
      <c r="A12" s="1">
        <v>1004</v>
      </c>
      <c r="B12" s="1" t="s">
        <v>29</v>
      </c>
      <c r="C12" s="1" t="s">
        <v>47</v>
      </c>
      <c r="D12" s="1" t="s">
        <v>42</v>
      </c>
      <c r="E12" s="1" t="s">
        <v>48</v>
      </c>
    </row>
    <row r="13" spans="1:5" ht="24" customHeight="1" x14ac:dyDescent="0.3">
      <c r="A13" s="1">
        <v>1005</v>
      </c>
      <c r="B13" s="1" t="s">
        <v>30</v>
      </c>
      <c r="C13" s="1" t="s">
        <v>50</v>
      </c>
      <c r="D13" s="1" t="s">
        <v>40</v>
      </c>
      <c r="E13" s="1" t="s">
        <v>48</v>
      </c>
    </row>
    <row r="14" spans="1:5" ht="24" customHeight="1" x14ac:dyDescent="0.3">
      <c r="A14" s="1">
        <v>1006</v>
      </c>
      <c r="B14" s="1" t="s">
        <v>51</v>
      </c>
      <c r="C14" s="1" t="s">
        <v>47</v>
      </c>
      <c r="D14" s="1" t="s">
        <v>40</v>
      </c>
      <c r="E14" s="1" t="s">
        <v>48</v>
      </c>
    </row>
    <row r="15" spans="1:5" ht="24" customHeight="1" x14ac:dyDescent="0.3">
      <c r="A15" s="1">
        <v>1007</v>
      </c>
      <c r="B15" s="1" t="s">
        <v>52</v>
      </c>
      <c r="C15" s="1" t="s">
        <v>49</v>
      </c>
      <c r="D15" s="1" t="s">
        <v>42</v>
      </c>
      <c r="E15" s="1" t="s">
        <v>48</v>
      </c>
    </row>
    <row r="16" spans="1:5" ht="24" customHeight="1" x14ac:dyDescent="0.3">
      <c r="A16" s="1">
        <v>1008</v>
      </c>
      <c r="B16" s="1" t="s">
        <v>53</v>
      </c>
      <c r="C16" s="1" t="s">
        <v>50</v>
      </c>
      <c r="D16" s="1" t="s">
        <v>40</v>
      </c>
      <c r="E16" s="1" t="s">
        <v>48</v>
      </c>
    </row>
    <row r="17" spans="1:5" ht="24" customHeight="1" x14ac:dyDescent="0.3">
      <c r="A17" s="1">
        <v>1009</v>
      </c>
      <c r="B17" s="1" t="s">
        <v>54</v>
      </c>
      <c r="C17" s="1" t="s">
        <v>47</v>
      </c>
      <c r="D17" s="1" t="s">
        <v>40</v>
      </c>
      <c r="E17" s="1" t="s">
        <v>48</v>
      </c>
    </row>
    <row r="18" spans="1:5" ht="24" customHeight="1" x14ac:dyDescent="0.3">
      <c r="A18" s="1">
        <v>1010</v>
      </c>
      <c r="B18" s="1" t="s">
        <v>55</v>
      </c>
      <c r="C18" s="1" t="s">
        <v>47</v>
      </c>
      <c r="D18" s="1" t="s">
        <v>42</v>
      </c>
      <c r="E18" s="1" t="s">
        <v>48</v>
      </c>
    </row>
    <row r="19" spans="1:5" ht="24" customHeight="1" x14ac:dyDescent="0.3">
      <c r="A19" s="1">
        <v>1011</v>
      </c>
      <c r="B19" s="1" t="s">
        <v>56</v>
      </c>
      <c r="C19" s="1" t="s">
        <v>50</v>
      </c>
      <c r="D19" s="1" t="s">
        <v>40</v>
      </c>
      <c r="E19" s="1" t="s">
        <v>48</v>
      </c>
    </row>
    <row r="20" spans="1:5" ht="24" customHeight="1" x14ac:dyDescent="0.3">
      <c r="A20" s="1">
        <v>1012</v>
      </c>
      <c r="B20" s="1" t="s">
        <v>57</v>
      </c>
      <c r="C20" s="1" t="s">
        <v>49</v>
      </c>
      <c r="D20" s="1" t="s">
        <v>40</v>
      </c>
      <c r="E20" s="1" t="s">
        <v>48</v>
      </c>
    </row>
    <row r="21" spans="1:5" ht="24" customHeight="1" x14ac:dyDescent="0.3">
      <c r="A21" s="1">
        <v>1013</v>
      </c>
      <c r="B21" s="1" t="s">
        <v>58</v>
      </c>
      <c r="C21" s="1" t="s">
        <v>47</v>
      </c>
      <c r="D21" s="1" t="s">
        <v>42</v>
      </c>
      <c r="E21" s="1" t="s">
        <v>48</v>
      </c>
    </row>
    <row r="22" spans="1:5" ht="24" customHeight="1" x14ac:dyDescent="0.3">
      <c r="A22" s="1">
        <v>1014</v>
      </c>
      <c r="B22" s="1" t="s">
        <v>59</v>
      </c>
      <c r="C22" s="1" t="s">
        <v>50</v>
      </c>
      <c r="D22" s="1" t="s">
        <v>40</v>
      </c>
      <c r="E22" s="1" t="s">
        <v>48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9AE0C-BD0B-4BB6-8DD3-AF18858C9AF0}">
  <dimension ref="A3:J11"/>
  <sheetViews>
    <sheetView zoomScaleNormal="100" workbookViewId="0"/>
  </sheetViews>
  <sheetFormatPr defaultRowHeight="24" customHeight="1" x14ac:dyDescent="0.3"/>
  <cols>
    <col min="1" max="1" width="20" style="1" bestFit="1" customWidth="1"/>
    <col min="2" max="2" width="15" style="1" bestFit="1" customWidth="1"/>
    <col min="3" max="3" width="15.42578125" style="1" bestFit="1" customWidth="1"/>
    <col min="4" max="4" width="15" style="1" bestFit="1" customWidth="1"/>
    <col min="5" max="5" width="9.140625" style="1"/>
    <col min="6" max="6" width="18.85546875" style="1" bestFit="1" customWidth="1"/>
    <col min="7" max="7" width="19.42578125" style="1" bestFit="1" customWidth="1"/>
    <col min="8" max="8" width="9.140625" style="1"/>
    <col min="9" max="9" width="13.42578125" style="1" bestFit="1" customWidth="1"/>
    <col min="10" max="10" width="14.7109375" style="1" bestFit="1" customWidth="1"/>
    <col min="11" max="16384" width="9.140625" style="1"/>
  </cols>
  <sheetData>
    <row r="3" spans="1:10" ht="24" customHeight="1" x14ac:dyDescent="0.3">
      <c r="A3" s="3" t="s">
        <v>65</v>
      </c>
      <c r="B3" s="3" t="s">
        <v>3</v>
      </c>
      <c r="C3" s="3" t="s">
        <v>66</v>
      </c>
      <c r="D3" s="3" t="s">
        <v>3</v>
      </c>
      <c r="F3" s="3" t="s">
        <v>67</v>
      </c>
      <c r="G3" s="3" t="s">
        <v>68</v>
      </c>
      <c r="I3" s="3" t="s">
        <v>69</v>
      </c>
      <c r="J3" s="3" t="s">
        <v>70</v>
      </c>
    </row>
    <row r="4" spans="1:10" ht="24" customHeight="1" x14ac:dyDescent="0.3">
      <c r="A4" s="1">
        <v>1001</v>
      </c>
      <c r="B4" s="1" t="str">
        <f>IF(COUNTIF($C$4:$C$11,A4)=0,"SAIU","continua")</f>
        <v>SAIU</v>
      </c>
      <c r="C4" s="1">
        <v>1002</v>
      </c>
      <c r="D4" s="1" t="str">
        <f>IF(COUNTIF($A$4:$A$11,C4)=0,"NOVO","já estava")</f>
        <v>já estava</v>
      </c>
      <c r="F4" s="1" cm="1">
        <f t="array" ref="F4:F6">_xlfn._xlws.FILTER(C4:C11,COUNTIF(A4:A11,C4:C11)=0,"nenhum")</f>
        <v>1009</v>
      </c>
      <c r="G4" s="1" cm="1">
        <f t="array" ref="G4:G6">_xlfn._xlws.FILTER(A4:A11,COUNTIF(C4:C11,A4:A11)=0,"nenhum")</f>
        <v>1001</v>
      </c>
      <c r="I4" s="1" t="s">
        <v>71</v>
      </c>
      <c r="J4" s="1">
        <f>COUNTIF(D4:D11,"NOVO")</f>
        <v>3</v>
      </c>
    </row>
    <row r="5" spans="1:10" ht="24" customHeight="1" x14ac:dyDescent="0.3">
      <c r="A5" s="1">
        <v>1002</v>
      </c>
      <c r="B5" s="1" t="str">
        <f t="shared" ref="B5:B11" si="0">IF(COUNTIF($C$4:$C$11,A5)=0,"SAIU","continua")</f>
        <v>continua</v>
      </c>
      <c r="C5" s="1">
        <v>1003</v>
      </c>
      <c r="D5" s="1" t="str">
        <f t="shared" ref="D5:D11" si="1">IF(COUNTIF($A$4:$A$11,C5)=0,"NOVO","já estava")</f>
        <v>já estava</v>
      </c>
      <c r="F5" s="1">
        <v>1010</v>
      </c>
      <c r="G5" s="1">
        <v>1007</v>
      </c>
      <c r="I5" s="1" t="s">
        <v>72</v>
      </c>
      <c r="J5" s="1">
        <f>COUNTIF(B4:B11,"SAIU")</f>
        <v>3</v>
      </c>
    </row>
    <row r="6" spans="1:10" ht="24" customHeight="1" x14ac:dyDescent="0.3">
      <c r="A6" s="1">
        <v>1003</v>
      </c>
      <c r="B6" s="1" t="str">
        <f t="shared" si="0"/>
        <v>continua</v>
      </c>
      <c r="C6" s="1">
        <v>1004</v>
      </c>
      <c r="D6" s="1" t="str">
        <f t="shared" si="1"/>
        <v>já estava</v>
      </c>
      <c r="F6" s="1">
        <v>1011</v>
      </c>
      <c r="G6" s="1">
        <v>1008</v>
      </c>
      <c r="I6" s="1" t="s">
        <v>73</v>
      </c>
      <c r="J6" s="1">
        <f>COUNTIF(B4:B11,"continua")</f>
        <v>5</v>
      </c>
    </row>
    <row r="7" spans="1:10" ht="24" customHeight="1" x14ac:dyDescent="0.3">
      <c r="A7" s="1">
        <v>1004</v>
      </c>
      <c r="B7" s="1" t="str">
        <f t="shared" si="0"/>
        <v>continua</v>
      </c>
      <c r="C7" s="1">
        <v>1005</v>
      </c>
      <c r="D7" s="1" t="str">
        <f t="shared" si="1"/>
        <v>já estava</v>
      </c>
    </row>
    <row r="8" spans="1:10" ht="24" customHeight="1" x14ac:dyDescent="0.3">
      <c r="A8" s="1">
        <v>1005</v>
      </c>
      <c r="B8" s="1" t="str">
        <f t="shared" si="0"/>
        <v>continua</v>
      </c>
      <c r="C8" s="1">
        <v>1006</v>
      </c>
      <c r="D8" s="1" t="str">
        <f t="shared" si="1"/>
        <v>já estava</v>
      </c>
    </row>
    <row r="9" spans="1:10" ht="24" customHeight="1" x14ac:dyDescent="0.3">
      <c r="A9" s="1">
        <v>1006</v>
      </c>
      <c r="B9" s="1" t="str">
        <f t="shared" si="0"/>
        <v>continua</v>
      </c>
      <c r="C9" s="1">
        <v>1009</v>
      </c>
      <c r="D9" s="1" t="str">
        <f t="shared" si="1"/>
        <v>NOVO</v>
      </c>
    </row>
    <row r="10" spans="1:10" ht="24" customHeight="1" x14ac:dyDescent="0.3">
      <c r="A10" s="1">
        <v>1007</v>
      </c>
      <c r="B10" s="1" t="str">
        <f t="shared" si="0"/>
        <v>SAIU</v>
      </c>
      <c r="C10" s="1">
        <v>1010</v>
      </c>
      <c r="D10" s="1" t="str">
        <f t="shared" si="1"/>
        <v>NOVO</v>
      </c>
    </row>
    <row r="11" spans="1:10" ht="24" customHeight="1" x14ac:dyDescent="0.3">
      <c r="A11" s="1">
        <v>1008</v>
      </c>
      <c r="B11" s="1" t="str">
        <f t="shared" si="0"/>
        <v>SAIU</v>
      </c>
      <c r="C11" s="1">
        <v>1011</v>
      </c>
      <c r="D11" s="1" t="str">
        <f t="shared" si="1"/>
        <v>NOVO</v>
      </c>
    </row>
  </sheetData>
  <conditionalFormatting sqref="B4:D11">
    <cfRule type="cellIs" dxfId="7" priority="1" stopIfTrue="1" operator="equal">
      <formula>"SAIU"</formula>
    </cfRule>
    <cfRule type="cellIs" dxfId="6" priority="2" stopIfTrue="1" operator="equal">
      <formula>"NOVO"</formula>
    </cfRule>
  </conditionalFormatting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8316E-DA5E-4443-87DA-51EF70252C36}">
  <dimension ref="A3:H15"/>
  <sheetViews>
    <sheetView zoomScaleNormal="100" workbookViewId="0"/>
  </sheetViews>
  <sheetFormatPr defaultRowHeight="24" customHeight="1" x14ac:dyDescent="0.3"/>
  <cols>
    <col min="1" max="1" width="19.7109375" style="1" bestFit="1" customWidth="1"/>
    <col min="2" max="2" width="21.85546875" style="1" bestFit="1" customWidth="1"/>
    <col min="3" max="3" width="13.5703125" style="1" bestFit="1" customWidth="1"/>
    <col min="4" max="4" width="14.85546875" style="1" bestFit="1" customWidth="1"/>
    <col min="5" max="5" width="9.140625" style="1"/>
    <col min="6" max="6" width="46.7109375" style="1" customWidth="1"/>
    <col min="7" max="7" width="16.7109375" style="1" customWidth="1"/>
    <col min="8" max="8" width="44.7109375" style="1" bestFit="1" customWidth="1"/>
    <col min="9" max="16384" width="9.140625" style="1"/>
  </cols>
  <sheetData>
    <row r="3" spans="1:8" ht="24" customHeight="1" x14ac:dyDescent="0.3">
      <c r="A3" s="3" t="s">
        <v>17</v>
      </c>
      <c r="B3" s="3" t="s">
        <v>45</v>
      </c>
      <c r="C3" s="3" t="s">
        <v>74</v>
      </c>
      <c r="D3" s="3" t="s">
        <v>75</v>
      </c>
      <c r="F3" s="3" t="s">
        <v>78</v>
      </c>
      <c r="G3" s="3" t="s">
        <v>79</v>
      </c>
      <c r="H3" s="3" t="s">
        <v>80</v>
      </c>
    </row>
    <row r="4" spans="1:8" ht="24" customHeight="1" x14ac:dyDescent="0.3">
      <c r="A4" s="1" t="s">
        <v>26</v>
      </c>
      <c r="B4" s="1" t="s">
        <v>47</v>
      </c>
      <c r="C4" s="1" t="s">
        <v>76</v>
      </c>
      <c r="D4" s="8">
        <v>150</v>
      </c>
      <c r="F4" s="1" t="s">
        <v>81</v>
      </c>
      <c r="G4" s="1">
        <f>COUNTIF(tbMov[Status],"ADMITIDO")</f>
        <v>8</v>
      </c>
      <c r="H4" s="12" t="s">
        <v>88</v>
      </c>
    </row>
    <row r="5" spans="1:8" ht="24" customHeight="1" x14ac:dyDescent="0.3">
      <c r="A5" s="1" t="s">
        <v>27</v>
      </c>
      <c r="B5" s="1" t="s">
        <v>47</v>
      </c>
      <c r="C5" s="1" t="s">
        <v>76</v>
      </c>
      <c r="D5" s="8">
        <v>320.5</v>
      </c>
      <c r="F5" s="1" t="s">
        <v>82</v>
      </c>
      <c r="G5" s="1">
        <f>COUNTIF(tbMov[Status],"DEMITIDO")</f>
        <v>4</v>
      </c>
      <c r="H5" s="4" t="s">
        <v>89</v>
      </c>
    </row>
    <row r="6" spans="1:8" ht="24" customHeight="1" x14ac:dyDescent="0.3">
      <c r="A6" s="1" t="s">
        <v>28</v>
      </c>
      <c r="B6" s="1" t="s">
        <v>49</v>
      </c>
      <c r="C6" s="1" t="s">
        <v>77</v>
      </c>
      <c r="D6" s="8">
        <v>89.9</v>
      </c>
      <c r="F6" s="1" t="s">
        <v>83</v>
      </c>
      <c r="G6" s="1">
        <f>COUNTIFS(tbMov[Status],"ADMITIDO",tbMov[Área],"OPERACIONAL")</f>
        <v>6</v>
      </c>
      <c r="H6" s="4" t="s">
        <v>90</v>
      </c>
    </row>
    <row r="7" spans="1:8" ht="24" customHeight="1" x14ac:dyDescent="0.3">
      <c r="A7" s="1" t="s">
        <v>29</v>
      </c>
      <c r="B7" s="1" t="s">
        <v>47</v>
      </c>
      <c r="C7" s="1" t="s">
        <v>76</v>
      </c>
      <c r="D7" s="8">
        <v>410</v>
      </c>
      <c r="F7" s="1" t="s">
        <v>84</v>
      </c>
      <c r="G7" s="8">
        <f>SUMIF(tbMov[Status],"DEMITIDO",tbMov[Valor])</f>
        <v>1633.2</v>
      </c>
      <c r="H7" s="4" t="s">
        <v>91</v>
      </c>
    </row>
    <row r="8" spans="1:8" ht="24" customHeight="1" x14ac:dyDescent="0.3">
      <c r="A8" s="1" t="s">
        <v>30</v>
      </c>
      <c r="B8" s="1" t="s">
        <v>50</v>
      </c>
      <c r="C8" s="1" t="s">
        <v>77</v>
      </c>
      <c r="D8" s="8">
        <v>1250</v>
      </c>
      <c r="F8" s="1" t="s">
        <v>85</v>
      </c>
      <c r="G8" s="8">
        <f>SUMIFS(tbMov[Valor],tbMov[Status],"DEMITIDO",tbMov[Área],"LOGÍSTICA")</f>
        <v>1543.3</v>
      </c>
      <c r="H8" s="4" t="s">
        <v>92</v>
      </c>
    </row>
    <row r="9" spans="1:8" ht="24" customHeight="1" x14ac:dyDescent="0.3">
      <c r="A9" s="1" t="s">
        <v>51</v>
      </c>
      <c r="B9" s="1" t="s">
        <v>47</v>
      </c>
      <c r="C9" s="1" t="s">
        <v>76</v>
      </c>
      <c r="D9" s="8">
        <v>76.3</v>
      </c>
      <c r="F9" s="1" t="s">
        <v>86</v>
      </c>
      <c r="G9" s="8">
        <f>AVERAGEIF(tbMov[Status],"ADMITIDO",tbMov[Valor])</f>
        <v>272.47500000000002</v>
      </c>
      <c r="H9" s="4" t="s">
        <v>93</v>
      </c>
    </row>
    <row r="10" spans="1:8" ht="24" customHeight="1" x14ac:dyDescent="0.3">
      <c r="A10" s="1" t="s">
        <v>52</v>
      </c>
      <c r="B10" s="1" t="s">
        <v>49</v>
      </c>
      <c r="C10" s="1" t="s">
        <v>76</v>
      </c>
      <c r="D10" s="8">
        <v>640</v>
      </c>
      <c r="F10" s="1" t="s">
        <v>87</v>
      </c>
      <c r="G10" s="1" t="str">
        <f>IF(G4+G5=COUNTA(tbMov[Nome]),"OK","Conferir")</f>
        <v>OK</v>
      </c>
      <c r="H10" s="4" t="s">
        <v>94</v>
      </c>
    </row>
    <row r="11" spans="1:8" ht="24" customHeight="1" x14ac:dyDescent="0.3">
      <c r="A11" s="1" t="s">
        <v>53</v>
      </c>
      <c r="B11" s="1" t="s">
        <v>50</v>
      </c>
      <c r="C11" s="1" t="s">
        <v>77</v>
      </c>
      <c r="D11" s="8">
        <v>215.8</v>
      </c>
    </row>
    <row r="12" spans="1:8" ht="24" customHeight="1" x14ac:dyDescent="0.3">
      <c r="A12" s="1" t="s">
        <v>54</v>
      </c>
      <c r="B12" s="1" t="s">
        <v>47</v>
      </c>
      <c r="C12" s="1" t="s">
        <v>76</v>
      </c>
      <c r="D12" s="8">
        <v>98</v>
      </c>
    </row>
    <row r="13" spans="1:8" ht="24" customHeight="1" x14ac:dyDescent="0.3">
      <c r="A13" s="1" t="s">
        <v>55</v>
      </c>
      <c r="B13" s="1" t="s">
        <v>47</v>
      </c>
      <c r="C13" s="1" t="s">
        <v>76</v>
      </c>
      <c r="D13" s="8">
        <v>305</v>
      </c>
    </row>
    <row r="14" spans="1:8" ht="24" customHeight="1" x14ac:dyDescent="0.3">
      <c r="A14" s="1" t="s">
        <v>56</v>
      </c>
      <c r="B14" s="1" t="s">
        <v>50</v>
      </c>
      <c r="C14" s="1" t="s">
        <v>77</v>
      </c>
      <c r="D14" s="8">
        <v>77.5</v>
      </c>
    </row>
    <row r="15" spans="1:8" ht="24" customHeight="1" x14ac:dyDescent="0.3">
      <c r="A15" s="1" t="s">
        <v>57</v>
      </c>
      <c r="B15" s="1" t="s">
        <v>49</v>
      </c>
      <c r="C15" s="1" t="s">
        <v>76</v>
      </c>
      <c r="D15" s="8">
        <v>180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66514-9680-4062-9014-25101D5C7461}">
  <dimension ref="A3:F6"/>
  <sheetViews>
    <sheetView zoomScaleNormal="100" workbookViewId="0"/>
  </sheetViews>
  <sheetFormatPr defaultRowHeight="24" customHeight="1" x14ac:dyDescent="0.3"/>
  <cols>
    <col min="1" max="1" width="9.5703125" style="1" bestFit="1" customWidth="1"/>
    <col min="2" max="2" width="20.42578125" style="1" bestFit="1" customWidth="1"/>
    <col min="3" max="3" width="11.28515625" style="1" bestFit="1" customWidth="1"/>
    <col min="4" max="4" width="26.5703125" style="1" bestFit="1" customWidth="1"/>
    <col min="5" max="5" width="16.28515625" style="1" bestFit="1" customWidth="1"/>
    <col min="6" max="6" width="74.7109375" style="1" customWidth="1"/>
    <col min="7" max="16384" width="9.140625" style="1"/>
  </cols>
  <sheetData>
    <row r="3" spans="1:6" ht="24" customHeight="1" x14ac:dyDescent="0.3">
      <c r="A3" s="3" t="s">
        <v>95</v>
      </c>
      <c r="B3" s="3" t="s">
        <v>96</v>
      </c>
      <c r="C3" s="3" t="s">
        <v>75</v>
      </c>
      <c r="D3" s="3" t="s">
        <v>97</v>
      </c>
      <c r="E3" s="3" t="s">
        <v>98</v>
      </c>
      <c r="F3" s="3" t="s">
        <v>99</v>
      </c>
    </row>
    <row r="4" spans="1:6" ht="24" customHeight="1" x14ac:dyDescent="0.3">
      <c r="A4" s="1" t="s">
        <v>100</v>
      </c>
      <c r="B4" s="5">
        <v>46305</v>
      </c>
      <c r="C4" s="8">
        <v>50</v>
      </c>
      <c r="D4" s="1" t="s">
        <v>102</v>
      </c>
      <c r="E4" s="1" t="str">
        <f>TEXT(B4,"mm/aaaa")</f>
        <v>10/2026</v>
      </c>
      <c r="F4" s="1" t="str">
        <f>A4&amp;" parcela: "&amp;TEXT(C4,"R$ #.##0,00")&amp;" ("&amp;E4&amp;") - valor referente a "&amp;D4</f>
        <v>1ª parcela: R$ 50,00 (10/2026) - valor referente a material de exemplo</v>
      </c>
    </row>
    <row r="5" spans="1:6" ht="24" customHeight="1" x14ac:dyDescent="0.3">
      <c r="A5" s="1" t="s">
        <v>101</v>
      </c>
      <c r="B5" s="5">
        <v>46307</v>
      </c>
      <c r="C5" s="8">
        <v>25.5</v>
      </c>
      <c r="D5" s="1" t="s">
        <v>103</v>
      </c>
      <c r="E5" s="1" t="str">
        <f>TEXT(B5,"mm/aaaa")</f>
        <v>10/2026</v>
      </c>
      <c r="F5" s="1" t="str">
        <f>A5&amp;" parcela: "&amp;TEXT(C5,"R$ #.##0,00")&amp;" ("&amp;E5&amp;") - valor referente a "&amp;D5</f>
        <v>2ª parcela: R$ 25,50 (10/2026) - valor referente a outro item de exemplo</v>
      </c>
    </row>
    <row r="6" spans="1:6" ht="24" customHeight="1" x14ac:dyDescent="0.3">
      <c r="A6" s="2" t="s">
        <v>104</v>
      </c>
      <c r="C6" s="9">
        <f>SUM(C4:C5)</f>
        <v>75.5</v>
      </c>
      <c r="F6" s="1" t="str">
        <f>"Total a descontar: "&amp;TEXT(C6,"R$ #.##0,00")&amp;" em "&amp;COUNTA(C4:C5)&amp;" parcelas"</f>
        <v>Total a descontar: R$ 75,50 em 2 parcelas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5FFA1-7F09-4CBC-B0D1-DEDB8154A842}">
  <dimension ref="A3:D6"/>
  <sheetViews>
    <sheetView zoomScaleNormal="100" workbookViewId="0"/>
  </sheetViews>
  <sheetFormatPr defaultRowHeight="24" customHeight="1" x14ac:dyDescent="0.3"/>
  <cols>
    <col min="1" max="1" width="19.5703125" style="1" bestFit="1" customWidth="1"/>
    <col min="2" max="2" width="18.85546875" style="1" bestFit="1" customWidth="1"/>
    <col min="3" max="3" width="35.5703125" style="1" bestFit="1" customWidth="1"/>
    <col min="4" max="4" width="24.85546875" style="1" bestFit="1" customWidth="1"/>
    <col min="5" max="16384" width="9.140625" style="1"/>
  </cols>
  <sheetData>
    <row r="3" spans="1:4" ht="24" customHeight="1" x14ac:dyDescent="0.3">
      <c r="A3" s="3" t="s">
        <v>105</v>
      </c>
      <c r="B3" s="3" t="s">
        <v>106</v>
      </c>
      <c r="C3" s="3" t="s">
        <v>107</v>
      </c>
      <c r="D3" s="3" t="s">
        <v>108</v>
      </c>
    </row>
    <row r="4" spans="1:4" ht="24" customHeight="1" x14ac:dyDescent="0.3">
      <c r="A4" s="4" t="s">
        <v>109</v>
      </c>
      <c r="B4" s="1" t="str">
        <f>"***"&amp;MID(A4,4,9)&amp;"**"</f>
        <v>***.000.001-**</v>
      </c>
      <c r="C4" s="1" t="s">
        <v>111</v>
      </c>
      <c r="D4" s="1" t="str">
        <f>LEFT(C4,1)&amp;"***"&amp;MID(C4,SEARCH("@",C4),99)</f>
        <v>m***@exemplo.com</v>
      </c>
    </row>
    <row r="5" spans="1:4" ht="24" customHeight="1" x14ac:dyDescent="0.3">
      <c r="A5" s="4" t="s">
        <v>110</v>
      </c>
      <c r="B5" s="1" t="str">
        <f t="shared" ref="B5:B6" si="0">"***"&amp;MID(A5,4,9)&amp;"**"</f>
        <v>***.000.002-**</v>
      </c>
      <c r="C5" s="1" t="s">
        <v>112</v>
      </c>
      <c r="D5" s="1" t="str">
        <f t="shared" ref="D5:D6" si="1">LEFT(C5,1)&amp;"***"&amp;MID(C5,SEARCH("@",C5),99)</f>
        <v>j***@exemplo.com</v>
      </c>
    </row>
    <row r="6" spans="1:4" ht="24" customHeight="1" x14ac:dyDescent="0.3">
      <c r="A6" s="4" t="s">
        <v>6</v>
      </c>
      <c r="B6" s="1" t="str">
        <f t="shared" si="0"/>
        <v>***.000.003-**</v>
      </c>
      <c r="C6" s="1" t="s">
        <v>113</v>
      </c>
      <c r="D6" s="1" t="str">
        <f t="shared" si="1"/>
        <v>a***@exemplo.com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8</vt:i4>
      </vt:variant>
      <vt:variant>
        <vt:lpstr>Intervalos Nomeados</vt:lpstr>
      </vt:variant>
      <vt:variant>
        <vt:i4>1</vt:i4>
      </vt:variant>
    </vt:vector>
  </HeadingPairs>
  <TitlesOfParts>
    <vt:vector size="9" baseType="lpstr">
      <vt:lpstr>Aula 1 - Limpeza</vt:lpstr>
      <vt:lpstr>Aula 2 - Datas</vt:lpstr>
      <vt:lpstr>Aula 3 - Lógica (VT)</vt:lpstr>
      <vt:lpstr>Aula 4 - Busca</vt:lpstr>
      <vt:lpstr>Aula 5 - Cruzar listas</vt:lpstr>
      <vt:lpstr>Aula 6 - Contar e somar</vt:lpstr>
      <vt:lpstr>Aula 7 - Desconto</vt:lpstr>
      <vt:lpstr>Aula 8 - Máscara LGPD</vt:lpstr>
      <vt:lpstr>ValorDia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2026-10-24T14:41:19Z</dcterms:created>
  <dcterms:modified xsi:type="dcterms:W3CDTF">2026-10-24T14:41:19Z</dcterms:modified>
</cp:coreProperties>
</file>